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550" activeTab="1"/>
  </bookViews>
  <sheets>
    <sheet name="直保PAA" sheetId="1" r:id="rId1"/>
    <sheet name="再保分入" sheetId="2" r:id="rId2"/>
    <sheet name="再保分出" sheetId="3" r:id="rId3"/>
  </sheets>
  <externalReferences>
    <externalReference r:id="rId4"/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<sst xmlns="http://schemas.openxmlformats.org/spreadsheetml/2006/main" count="173" uniqueCount="93">
  <si>
    <t>未到期科目构成</t>
  </si>
  <si>
    <t>新准则-PAA：</t>
  </si>
  <si>
    <t>核算维度：公司段+部门段+营销团队段+渠道段+项目段+涉农段+产品段+合同分组</t>
  </si>
  <si>
    <t>序号</t>
  </si>
  <si>
    <t>类型</t>
  </si>
  <si>
    <t>借贷方向</t>
  </si>
  <si>
    <t>I17科目代码</t>
  </si>
  <si>
    <t>I17科目名称</t>
  </si>
  <si>
    <t>取数口径</t>
  </si>
  <si>
    <t>金额</t>
  </si>
  <si>
    <t>期初数</t>
  </si>
  <si>
    <t>核对</t>
  </si>
  <si>
    <t>签单保费</t>
  </si>
  <si>
    <t>贷</t>
  </si>
  <si>
    <t>未到期责任负债-未来现金流-现金流/保费-保费收入</t>
  </si>
  <si>
    <t>正数</t>
  </si>
  <si>
    <t>保费_本币</t>
  </si>
  <si>
    <t>获取费用</t>
  </si>
  <si>
    <t>未到期责任负债-未来现金流-现金流/获取费用-手续费及佣金支出/佣金</t>
  </si>
  <si>
    <t>负数</t>
  </si>
  <si>
    <t>保险获取现金流_本币</t>
  </si>
  <si>
    <t>已经过保费</t>
  </si>
  <si>
    <t>未到期责任负债-未来现金流-保费分配法分摊的收入-保费收入/直接业务</t>
  </si>
  <si>
    <t>保险合同收入</t>
  </si>
  <si>
    <t>获取费用摊销</t>
  </si>
  <si>
    <t>2606011603</t>
  </si>
  <si>
    <t>未到期责任负债-未来现金流-获取费用摊销计入支出-保费分配法/直接业务</t>
  </si>
  <si>
    <t>当期确认的IACF</t>
  </si>
  <si>
    <t>亏损（保费不足）</t>
  </si>
  <si>
    <t>未到期责任负债-未来现金流-保费分配法亏损合同损益-亏损提转差/直接业务</t>
  </si>
  <si>
    <t>亏损部分</t>
  </si>
  <si>
    <t>计息</t>
  </si>
  <si>
    <t>未到期责任负债-未来现金流-保险财务费用-当期计提利息/保费分配法/直接业务</t>
  </si>
  <si>
    <t>合计</t>
  </si>
  <si>
    <t>借</t>
  </si>
  <si>
    <t>亏损保险合同损益</t>
  </si>
  <si>
    <t>未到期</t>
  </si>
  <si>
    <t>核算维度：公司段+部门段+营销团队段+渠道段+项目段+涉农段+产品段+合约ID+合同分组+比例/非比例+合约/临分</t>
  </si>
  <si>
    <t>分保费收入</t>
  </si>
  <si>
    <t>未到期责任负债-未来现金流-现金流/分入保费-分保费收入/比例合同</t>
  </si>
  <si>
    <t>未到期责任负债-未来现金流-现金流/分入保费-分保费收入/比例临分</t>
  </si>
  <si>
    <t>分保费用</t>
  </si>
  <si>
    <t>未到期责任负债-未来现金流-现金流/分入保费-分保费用/比例合同</t>
  </si>
  <si>
    <t>手续费_本币</t>
  </si>
  <si>
    <t>未到期责任负债-未来现金流-现金流/分入保费-分保费用/比例临分</t>
  </si>
  <si>
    <t>经纪费</t>
  </si>
  <si>
    <t>未到期责任负债-未来现金流-现金流/分入保费-分保费用/经纪费/比例合同</t>
  </si>
  <si>
    <t>不含税经纪费_本币</t>
  </si>
  <si>
    <t>未到期责任负债-未来现金流-现金流/分入保费-分保费用/经纪费/比例临分</t>
  </si>
  <si>
    <t>未到期责任负债-未来现金流-保费分配法分摊的收入-保费收入/分入业务</t>
  </si>
  <si>
    <t>亏损</t>
  </si>
  <si>
    <t>未到期责任负债-未来现金流-保费分配法亏损合同损益-亏损提转差/分入业务</t>
  </si>
  <si>
    <t>核算维度：公司段+部门段+营销团队段+渠道段+项目段+涉农段+产品段+合约ID+合同分组+比例/非比例+合约/临分+分出类型</t>
  </si>
  <si>
    <t>分出保费</t>
  </si>
  <si>
    <t>分保摊回未到期责任资产-未来现金流-现金流/分出保费-直接业务/比例合同</t>
  </si>
  <si>
    <t>分保摊回未到期责任资产-未来现金流-现金流/分出保费-直接业务/超赔合同</t>
  </si>
  <si>
    <t>分保摊回未到期责任资产-未来现金流-现金流/分出保费-直接业务/比例临分</t>
  </si>
  <si>
    <t>分保摊回未到期责任资产-未来现金流-现金流/分出保费-直接业务/超赔临分</t>
  </si>
  <si>
    <t>分保摊回未到期责任资产-未来现金流-现金流/分出保费-直接业务/比例预约</t>
  </si>
  <si>
    <t>分保摊回未到期责任资产-未来现金流-现金流/分出保费-分入业务/比例合同</t>
  </si>
  <si>
    <t>分保摊回未到期责任资产-未来现金流-现金流/分出保费-分入业务/超赔合同</t>
  </si>
  <si>
    <t>分保摊回未到期责任资产-未来现金流-现金流/分出保费-分入业务/比例临分</t>
  </si>
  <si>
    <t>分保摊回未到期责任资产-未来现金流-现金流/分出保费-分入业务/超赔临分</t>
  </si>
  <si>
    <t>分保摊回未到期责任资产-未来现金流-现金流/分出保费-分入业务/比例预约</t>
  </si>
  <si>
    <t>摊回分保费用</t>
  </si>
  <si>
    <t>分保摊回未到期责任资产-未来现金流-现金流/分出保费-摊回分保费用/直接业务/比例合同</t>
  </si>
  <si>
    <t>分保摊回未到期责任资产-未来现金流-现金流/分出保费-摊回分保费用/直接业务/超赔合同</t>
  </si>
  <si>
    <t>分保摊回未到期责任资产-未来现金流-现金流/分出保费-摊回分保费用/直接业务/比例临分</t>
  </si>
  <si>
    <t>分保摊回未到期责任资产-未来现金流-现金流/分出保费-摊回分保费用/直接业务/超赔临分</t>
  </si>
  <si>
    <t>分保摊回未到期责任资产-未来现金流-现金流/分出保费-摊回分保费用/直接业务/比例预约</t>
  </si>
  <si>
    <t>分保摊回未到期责任资产-未来现金流-现金流/分出保费-摊回分保费用/分入业务/比例合同</t>
  </si>
  <si>
    <t>分保摊回未到期责任资产-未来现金流-现金流/分出保费-摊回分保费用/分入业务/超赔合同</t>
  </si>
  <si>
    <t>分保摊回未到期责任资产-未来现金流-现金流/分出保费-摊回分保费用/分入业务/比例临分</t>
  </si>
  <si>
    <t>分保摊回未到期责任资产-未来现金流-现金流/分出保费-摊回分保费用/分入业务/超赔临分</t>
  </si>
  <si>
    <t>分保摊回未到期责任资产-未来现金流-现金流/分出保费-摊回分保费用/分入业务/比例预约</t>
  </si>
  <si>
    <t>分出保费的分摊</t>
  </si>
  <si>
    <t>分保摊回未到期责任资产-未来现金流-保费分配法分摊的分出保费-分出保费/直接业务</t>
  </si>
  <si>
    <t>当期确认的保费</t>
  </si>
  <si>
    <t>分保摊回未到期责任资产-未来现金流-保费分配法分摊的分出保费-分出保费/分入业务</t>
  </si>
  <si>
    <t>亏损摊回</t>
  </si>
  <si>
    <t>分保摊回未到期责任资产-未来现金流-保费分配法亏损摊回调整-亏损摊回调整/直接业务</t>
  </si>
  <si>
    <t>亏损摊回部分</t>
  </si>
  <si>
    <t>分保摊回未到期责任资产-未来现金流-保费分配法亏损摊回调整-亏损摊回调整/分入业务</t>
  </si>
  <si>
    <t>投资成分</t>
  </si>
  <si>
    <t>分保摊回未到期责任资产-未来现金流-摊回赔付/投资成分-摊回赔付支出/直接业务/比例合同</t>
  </si>
  <si>
    <t>负数，已摊销投资成分</t>
  </si>
  <si>
    <t>当期确认的投资成分</t>
  </si>
  <si>
    <t>分保摊回未到期责任资产-未来现金流-摊回赔付/投资成分-摊回赔付支出/直接业务/比例临分</t>
  </si>
  <si>
    <t>1253010501</t>
  </si>
  <si>
    <t>分保摊回已发生赔款资产-未来现金流-摊回赔付/投资成分-应收分保账款/摊回分保赔款/直接业务/比例合同</t>
  </si>
  <si>
    <t>正数，已摊销投资成分</t>
  </si>
  <si>
    <t>1253010502</t>
  </si>
  <si>
    <t>分保摊回已发生赔款资产-未来现金流-摊回赔付/投资成分-应收分保账款/摊回分保赔款/直接业务/比例临分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</si>
</sst>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#,##0.00_ "/>
  </numFmts>
  <fonts count="25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color theme="1"/>
      <name val="微软雅黑"/>
      <charset val="134"/>
    </font>
    <font>
      <b/>
      <sz val="14"/>
      <color theme="1"/>
      <name val="微软雅黑"/>
      <charset val="134"/>
    </font>
    <font>
      <b/>
      <sz val="12"/>
      <color theme="1"/>
      <name val="微软雅黑"/>
      <charset val="134"/>
    </font>
    <font>
      <b/>
      <sz val="16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5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8" applyNumberFormat="0" applyAlignment="0" applyProtection="0">
      <alignment vertical="center"/>
    </xf>
    <xf numFmtId="0" fontId="15" fillId="5" borderId="9" applyNumberFormat="0" applyAlignment="0" applyProtection="0">
      <alignment vertical="center"/>
    </xf>
    <xf numFmtId="0" fontId="16" fillId="5" borderId="8" applyNumberFormat="0" applyAlignment="0" applyProtection="0">
      <alignment vertical="center"/>
    </xf>
    <xf numFmtId="0" fontId="17" fillId="6" borderId="10" applyNumberFormat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42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43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0" fontId="3" fillId="0" borderId="0" xfId="0" applyFont="1" applyAlignment="1">
      <alignment horizontal="center" vertical="center"/>
    </xf>
    <xf numFmtId="43" fontId="3" fillId="0" borderId="0" xfId="0" applyNumberFormat="1" applyFont="1" applyAlignment="1">
      <alignment horizontal="center" vertical="center"/>
    </xf>
    <xf numFmtId="0" fontId="3" fillId="0" borderId="0" xfId="0" applyFont="1" applyFill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43" fontId="2" fillId="0" borderId="1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Fill="1" applyBorder="1" applyAlignment="1">
      <alignment horizontal="left" vertical="center"/>
    </xf>
    <xf numFmtId="43" fontId="1" fillId="0" borderId="1" xfId="0" applyNumberFormat="1" applyFont="1" applyBorder="1" applyAlignment="1">
      <alignment horizontal="center" vertical="center"/>
    </xf>
    <xf numFmtId="43" fontId="1" fillId="0" borderId="1" xfId="0" applyNumberFormat="1" applyFont="1" applyBorder="1">
      <alignment vertical="center"/>
    </xf>
    <xf numFmtId="0" fontId="1" fillId="0" borderId="0" xfId="0" applyFont="1" applyFill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1" xfId="0" applyFont="1" applyFill="1" applyBorder="1" applyAlignment="1">
      <alignment horizontal="left" vertical="center"/>
    </xf>
    <xf numFmtId="0" fontId="1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left" vertical="center" wrapText="1"/>
    </xf>
    <xf numFmtId="0" fontId="1" fillId="0" borderId="1" xfId="0" applyFont="1" applyFill="1" applyBorder="1" applyAlignment="1">
      <alignment horizontal="left" vertical="center" wrapText="1"/>
    </xf>
    <xf numFmtId="0" fontId="1" fillId="0" borderId="1" xfId="0" applyFont="1" applyFill="1" applyBorder="1" applyAlignment="1">
      <alignment horizontal="left" vertical="center"/>
    </xf>
    <xf numFmtId="176" fontId="2" fillId="0" borderId="0" xfId="0" applyNumberFormat="1" applyFont="1" applyAlignment="1">
      <alignment horizontal="center" vertical="center"/>
    </xf>
    <xf numFmtId="176" fontId="1" fillId="2" borderId="0" xfId="0" applyNumberFormat="1" applyFont="1" applyFill="1">
      <alignment vertical="center"/>
    </xf>
    <xf numFmtId="0" fontId="4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/>
    </xf>
    <xf numFmtId="43" fontId="1" fillId="0" borderId="1" xfId="0" applyNumberFormat="1" applyFont="1" applyFill="1" applyBorder="1">
      <alignment vertical="center"/>
    </xf>
    <xf numFmtId="0" fontId="1" fillId="0" borderId="0" xfId="0" applyNumberFormat="1" applyFont="1">
      <alignment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43" fontId="4" fillId="0" borderId="1" xfId="0" applyNumberFormat="1" applyFont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43" fontId="1" fillId="0" borderId="1" xfId="0" applyNumberFormat="1" applyFont="1" applyFill="1" applyBorder="1" applyAlignment="1">
      <alignment horizontal="center" vertical="center"/>
    </xf>
    <xf numFmtId="43" fontId="1" fillId="0" borderId="0" xfId="0" applyNumberFormat="1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28304;&#25968;&#25454;&#26680;&#23545;%20-%2010&#26376;13&#26085;(1)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&#28304;&#25968;&#25454;&#26680;&#23545;%20-%2010&#26376;13&#26085;(1)(1)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核对"/>
      <sheetName val="资产负债表"/>
      <sheetName val="取数模型"/>
      <sheetName val="计量数据准备"/>
      <sheetName val="BBA签单保费"/>
      <sheetName val="计量-直保"/>
      <sheetName val="计量-分入"/>
      <sheetName val="计量-分出"/>
      <sheetName val="费用分摊202401"/>
      <sheetName val="费用分摊202412"/>
      <sheetName val="科目余额"/>
      <sheetName val="跟单获取费用202401"/>
      <sheetName val="跟单获取费用202412"/>
      <sheetName val="分入获取费用"/>
      <sheetName val="源数据对比PPT"/>
      <sheetName val="Sheet4"/>
    </sheetNames>
    <sheetDataSet>
      <sheetData sheetId="0"/>
      <sheetData sheetId="1">
        <row r="19">
          <cell r="E19">
            <v>349107038.205097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核对"/>
      <sheetName val="资产负债表"/>
      <sheetName val="取数模型"/>
      <sheetName val="计量数据准备"/>
      <sheetName val="BBA签单保费"/>
      <sheetName val="计量-直保"/>
      <sheetName val="计量-分入"/>
      <sheetName val="计量-分出"/>
      <sheetName val="费用分摊202401"/>
      <sheetName val="费用分摊202412"/>
      <sheetName val="科目余额"/>
      <sheetName val="跟单获取费用202401"/>
      <sheetName val="跟单获取费用202412"/>
      <sheetName val="分入获取费用"/>
      <sheetName val="源数据对比PPT"/>
      <sheetName val="Sheet4"/>
    </sheetNames>
    <sheetDataSet>
      <sheetData sheetId="0"/>
      <sheetData sheetId="1">
        <row r="21">
          <cell r="E21">
            <v>7759231.54831958</v>
          </cell>
        </row>
        <row r="22">
          <cell r="E22">
            <v>310685886.910104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26"/>
  <sheetViews>
    <sheetView zoomScale="80" zoomScaleNormal="80" topLeftCell="D1" workbookViewId="0">
      <selection activeCell="I11" sqref="I11"/>
    </sheetView>
  </sheetViews>
  <sheetFormatPr defaultColWidth="8.72727272727273" defaultRowHeight="16.5"/>
  <cols>
    <col min="1" max="1" width="3.18181818181818" style="1" customWidth="1"/>
    <col min="2" max="2" width="8.72727272727273" style="3"/>
    <col min="3" max="3" width="18.0909090909091" style="3" customWidth="1"/>
    <col min="4" max="4" width="14" style="3" customWidth="1"/>
    <col min="5" max="5" width="23.3636363636364" style="3" customWidth="1"/>
    <col min="6" max="6" width="71.7272727272727" style="4" customWidth="1"/>
    <col min="7" max="7" width="20.1818181818182" style="5" customWidth="1"/>
    <col min="8" max="8" width="21.5454545454545" style="5" customWidth="1"/>
    <col min="9" max="9" width="22" style="1" customWidth="1"/>
    <col min="10" max="10" width="17.6090909090909" style="1" customWidth="1"/>
    <col min="11" max="11" width="18.6363636363636" style="1"/>
    <col min="12" max="16384" width="8.72727272727273" style="1"/>
  </cols>
  <sheetData>
    <row r="1" s="1" customFormat="1" ht="27" customHeight="1" spans="2:8">
      <c r="B1" s="7" t="s">
        <v>0</v>
      </c>
      <c r="C1" s="7"/>
      <c r="D1" s="7"/>
      <c r="E1" s="7"/>
      <c r="F1" s="7"/>
      <c r="G1" s="8"/>
      <c r="H1" s="5"/>
    </row>
    <row r="2" s="1" customFormat="1" ht="27" customHeight="1" spans="2:8">
      <c r="B2" s="36" t="s">
        <v>1</v>
      </c>
      <c r="C2" s="7"/>
      <c r="D2" s="7"/>
      <c r="E2" s="7"/>
      <c r="F2" s="7"/>
      <c r="G2" s="8"/>
      <c r="H2" s="5"/>
    </row>
    <row r="3" s="1" customFormat="1" ht="20" spans="2:8">
      <c r="B3" s="9" t="s">
        <v>2</v>
      </c>
      <c r="C3" s="3"/>
      <c r="D3" s="3"/>
      <c r="E3" s="3"/>
      <c r="F3" s="4"/>
      <c r="G3" s="5"/>
      <c r="H3" s="5"/>
    </row>
    <row r="4" s="35" customFormat="1" ht="33" customHeight="1" spans="2:11">
      <c r="B4" s="30" t="s">
        <v>3</v>
      </c>
      <c r="C4" s="30" t="s">
        <v>4</v>
      </c>
      <c r="D4" s="30" t="s">
        <v>5</v>
      </c>
      <c r="E4" s="30" t="s">
        <v>6</v>
      </c>
      <c r="F4" s="30" t="s">
        <v>7</v>
      </c>
      <c r="G4" s="37" t="s">
        <v>8</v>
      </c>
      <c r="H4" s="37" t="s">
        <v>9</v>
      </c>
      <c r="J4" s="35" t="s">
        <v>10</v>
      </c>
      <c r="K4" s="35" t="s">
        <v>11</v>
      </c>
    </row>
    <row r="5" s="1" customFormat="1" ht="25" customHeight="1" spans="2:11">
      <c r="B5" s="19">
        <v>1</v>
      </c>
      <c r="C5" s="31" t="s">
        <v>12</v>
      </c>
      <c r="D5" s="31" t="s">
        <v>13</v>
      </c>
      <c r="E5" s="14">
        <v>2606010801</v>
      </c>
      <c r="F5" s="32" t="s">
        <v>14</v>
      </c>
      <c r="G5" s="14" t="s">
        <v>15</v>
      </c>
      <c r="H5" s="17">
        <v>955225869.550001</v>
      </c>
      <c r="I5" s="1" t="s">
        <v>16</v>
      </c>
      <c r="J5" s="34">
        <v>955225869.550001</v>
      </c>
      <c r="K5" s="6">
        <f>H5-J5</f>
        <v>0</v>
      </c>
    </row>
    <row r="6" s="1" customFormat="1" ht="25" customHeight="1" spans="2:11">
      <c r="B6" s="38">
        <v>2</v>
      </c>
      <c r="C6" s="39" t="s">
        <v>17</v>
      </c>
      <c r="D6" s="31" t="s">
        <v>13</v>
      </c>
      <c r="E6" s="24">
        <v>2606011002</v>
      </c>
      <c r="F6" s="27" t="s">
        <v>18</v>
      </c>
      <c r="G6" s="40" t="s">
        <v>19</v>
      </c>
      <c r="H6" s="17">
        <v>-411690257.116182</v>
      </c>
      <c r="I6" s="1" t="s">
        <v>20</v>
      </c>
      <c r="J6" s="6">
        <v>-411690257.116182</v>
      </c>
      <c r="K6" s="6">
        <f>H6-J6</f>
        <v>0</v>
      </c>
    </row>
    <row r="7" s="1" customFormat="1" ht="25" customHeight="1" spans="2:11">
      <c r="B7" s="12">
        <v>3</v>
      </c>
      <c r="C7" s="14" t="s">
        <v>21</v>
      </c>
      <c r="D7" s="31" t="s">
        <v>13</v>
      </c>
      <c r="E7" s="24">
        <v>2606011102</v>
      </c>
      <c r="F7" s="26" t="s">
        <v>22</v>
      </c>
      <c r="G7" s="16" t="s">
        <v>19</v>
      </c>
      <c r="H7" s="17">
        <v>-451788339.28379</v>
      </c>
      <c r="I7" s="1" t="s">
        <v>23</v>
      </c>
      <c r="J7" s="6">
        <v>-451788339.28379</v>
      </c>
      <c r="K7" s="6">
        <f>H7-J7</f>
        <v>0</v>
      </c>
    </row>
    <row r="8" s="1" customFormat="1" ht="25" customHeight="1" spans="2:11">
      <c r="B8" s="12">
        <v>4</v>
      </c>
      <c r="C8" s="14" t="s">
        <v>24</v>
      </c>
      <c r="D8" s="31" t="s">
        <v>13</v>
      </c>
      <c r="E8" s="24" t="s">
        <v>25</v>
      </c>
      <c r="F8" s="26" t="s">
        <v>26</v>
      </c>
      <c r="G8" s="16" t="s">
        <v>15</v>
      </c>
      <c r="H8" s="17">
        <v>200930371.768993</v>
      </c>
      <c r="I8" s="1" t="s">
        <v>27</v>
      </c>
      <c r="J8" s="6">
        <v>200930371.768993</v>
      </c>
      <c r="K8" s="6">
        <f>H8-J8</f>
        <v>0</v>
      </c>
    </row>
    <row r="9" s="1" customFormat="1" ht="25" customHeight="1" spans="2:11">
      <c r="B9" s="14">
        <v>5</v>
      </c>
      <c r="C9" s="14" t="s">
        <v>28</v>
      </c>
      <c r="D9" s="31" t="s">
        <v>13</v>
      </c>
      <c r="E9" s="24">
        <v>2606011202</v>
      </c>
      <c r="F9" s="26" t="s">
        <v>29</v>
      </c>
      <c r="G9" s="16" t="s">
        <v>15</v>
      </c>
      <c r="H9" s="17">
        <v>56429400.4478362</v>
      </c>
      <c r="I9" s="1" t="s">
        <v>30</v>
      </c>
      <c r="J9" s="6">
        <v>56429400.4478362</v>
      </c>
      <c r="K9" s="6">
        <f>H9-J9</f>
        <v>0</v>
      </c>
    </row>
    <row r="10" s="1" customFormat="1" ht="25" hidden="1" customHeight="1" spans="2:11">
      <c r="B10" s="14">
        <v>6</v>
      </c>
      <c r="C10" s="14" t="s">
        <v>31</v>
      </c>
      <c r="D10" s="31" t="s">
        <v>13</v>
      </c>
      <c r="E10" s="24">
        <v>2606011302</v>
      </c>
      <c r="F10" s="26" t="s">
        <v>32</v>
      </c>
      <c r="G10" s="16" t="s">
        <v>15</v>
      </c>
      <c r="H10" s="17">
        <v>0</v>
      </c>
      <c r="K10" s="6">
        <f>H10-J10</f>
        <v>0</v>
      </c>
    </row>
    <row r="11" ht="24" customHeight="1" spans="2:11">
      <c r="B11" s="4"/>
      <c r="G11" s="41" t="s">
        <v>33</v>
      </c>
      <c r="H11" s="5">
        <f>SUM(H5:H10)</f>
        <v>349107045.366858</v>
      </c>
      <c r="I11" s="34"/>
      <c r="J11" s="34">
        <v>349107045.366849</v>
      </c>
      <c r="K11" s="6">
        <f>H11-J11</f>
        <v>9.00030136108398e-6</v>
      </c>
    </row>
    <row r="12" spans="2:8">
      <c r="B12" s="4"/>
      <c r="H12" s="5">
        <f>H11-[1]核对!$E$19</f>
        <v>7.16176122426987</v>
      </c>
    </row>
    <row r="25" spans="5:6">
      <c r="E25" s="3" t="s">
        <v>34</v>
      </c>
      <c r="F25" s="4" t="s">
        <v>35</v>
      </c>
    </row>
    <row r="26" spans="5:6">
      <c r="E26" s="3" t="s">
        <v>13</v>
      </c>
      <c r="F26" s="4" t="s">
        <v>36</v>
      </c>
    </row>
  </sheetData>
  <mergeCells count="1">
    <mergeCell ref="B1:G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14"/>
  <sheetViews>
    <sheetView tabSelected="1" zoomScale="85" zoomScaleNormal="85" topLeftCell="E1" workbookViewId="0">
      <selection activeCell="G12" sqref="G12"/>
    </sheetView>
  </sheetViews>
  <sheetFormatPr defaultColWidth="8.72727272727273" defaultRowHeight="16.5"/>
  <cols>
    <col min="1" max="1" width="8.72727272727273" style="1"/>
    <col min="2" max="2" width="7.00909090909091" style="3" customWidth="1"/>
    <col min="3" max="4" width="18.5090909090909" style="3" customWidth="1"/>
    <col min="5" max="5" width="22.0272727272727" style="3" customWidth="1"/>
    <col min="6" max="6" width="78.7090909090909" style="4" customWidth="1"/>
    <col min="7" max="7" width="20.1090909090909" style="5" customWidth="1"/>
    <col min="8" max="8" width="21.1727272727273" style="5" customWidth="1"/>
    <col min="9" max="9" width="19.7272727272727" style="1" customWidth="1"/>
    <col min="10" max="10" width="13.9090909090909" style="1" customWidth="1"/>
    <col min="11" max="11" width="8.72727272727273" style="1"/>
    <col min="12" max="12" width="16.6363636363636" style="1"/>
    <col min="13" max="16384" width="8.72727272727273" style="1"/>
  </cols>
  <sheetData>
    <row r="1" s="1" customFormat="1" ht="25" customHeight="1" spans="2:8">
      <c r="B1" s="7" t="s">
        <v>0</v>
      </c>
      <c r="C1" s="7"/>
      <c r="D1" s="7"/>
      <c r="E1" s="7"/>
      <c r="F1" s="7"/>
      <c r="G1" s="8"/>
      <c r="H1" s="5"/>
    </row>
    <row r="2" s="1" customFormat="1" ht="20" spans="2:8">
      <c r="B2" s="9" t="s">
        <v>37</v>
      </c>
      <c r="C2" s="3"/>
      <c r="D2" s="3"/>
      <c r="E2" s="3"/>
      <c r="F2" s="4"/>
      <c r="G2" s="5"/>
      <c r="H2" s="5"/>
    </row>
    <row r="3" s="2" customFormat="1" ht="24" customHeight="1" spans="2:12">
      <c r="B3" s="10" t="s">
        <v>3</v>
      </c>
      <c r="C3" s="10" t="s">
        <v>4</v>
      </c>
      <c r="D3" s="30" t="s">
        <v>5</v>
      </c>
      <c r="E3" s="10" t="s">
        <v>6</v>
      </c>
      <c r="F3" s="10" t="s">
        <v>7</v>
      </c>
      <c r="G3" s="11" t="s">
        <v>8</v>
      </c>
      <c r="H3" s="11" t="s">
        <v>9</v>
      </c>
      <c r="L3" s="2" t="s">
        <v>33</v>
      </c>
    </row>
    <row r="4" s="1" customFormat="1" ht="26" customHeight="1" spans="2:13">
      <c r="B4" s="12">
        <v>1</v>
      </c>
      <c r="C4" s="13" t="s">
        <v>38</v>
      </c>
      <c r="D4" s="31" t="s">
        <v>13</v>
      </c>
      <c r="E4" s="14">
        <v>2606010901</v>
      </c>
      <c r="F4" s="32" t="s">
        <v>39</v>
      </c>
      <c r="G4" s="16" t="s">
        <v>15</v>
      </c>
      <c r="H4" s="17">
        <v>40395857.1814</v>
      </c>
      <c r="I4" s="1" t="s">
        <v>16</v>
      </c>
      <c r="J4" s="1">
        <v>56799.88</v>
      </c>
      <c r="L4" s="1">
        <f>J4+J5</f>
        <v>40395857.1814</v>
      </c>
      <c r="M4" s="1">
        <f>H4-L4</f>
        <v>0</v>
      </c>
    </row>
    <row r="5" s="1" customFormat="1" ht="26" customHeight="1" spans="2:10">
      <c r="B5" s="19"/>
      <c r="C5" s="20"/>
      <c r="D5" s="31" t="s">
        <v>13</v>
      </c>
      <c r="E5" s="14">
        <v>2606010904</v>
      </c>
      <c r="F5" s="32" t="s">
        <v>40</v>
      </c>
      <c r="G5" s="16" t="s">
        <v>15</v>
      </c>
      <c r="H5" s="17"/>
      <c r="I5" s="5" t="s">
        <v>16</v>
      </c>
      <c r="J5" s="1">
        <v>40339057.3014</v>
      </c>
    </row>
    <row r="6" s="1" customFormat="1" ht="26" customHeight="1" spans="2:13">
      <c r="B6" s="12">
        <v>2</v>
      </c>
      <c r="C6" s="13" t="s">
        <v>41</v>
      </c>
      <c r="D6" s="31" t="s">
        <v>13</v>
      </c>
      <c r="E6" s="14">
        <v>2606010911</v>
      </c>
      <c r="F6" s="32" t="s">
        <v>42</v>
      </c>
      <c r="G6" s="16" t="s">
        <v>19</v>
      </c>
      <c r="H6" s="33">
        <v>-13886782.44868</v>
      </c>
      <c r="I6" s="1" t="s">
        <v>43</v>
      </c>
      <c r="J6" s="1">
        <v>-350644.6124</v>
      </c>
      <c r="L6" s="1">
        <f>J6+J7</f>
        <v>-13886782.44868</v>
      </c>
      <c r="M6" s="1">
        <f>H6-L6</f>
        <v>0</v>
      </c>
    </row>
    <row r="7" s="1" customFormat="1" ht="26" customHeight="1" spans="2:10">
      <c r="B7" s="19"/>
      <c r="C7" s="20"/>
      <c r="D7" s="31" t="s">
        <v>13</v>
      </c>
      <c r="E7" s="14">
        <v>2606010913</v>
      </c>
      <c r="F7" s="32" t="s">
        <v>44</v>
      </c>
      <c r="G7" s="16" t="s">
        <v>19</v>
      </c>
      <c r="H7" s="33"/>
      <c r="I7" s="1" t="s">
        <v>43</v>
      </c>
      <c r="J7" s="1">
        <v>-13536137.83628</v>
      </c>
    </row>
    <row r="8" s="1" customFormat="1" ht="26" customHeight="1" spans="2:13">
      <c r="B8" s="12">
        <v>3</v>
      </c>
      <c r="C8" s="13" t="s">
        <v>45</v>
      </c>
      <c r="D8" s="31" t="s">
        <v>13</v>
      </c>
      <c r="E8" s="14">
        <v>2606010921</v>
      </c>
      <c r="F8" s="32" t="s">
        <v>46</v>
      </c>
      <c r="G8" s="16" t="s">
        <v>19</v>
      </c>
      <c r="H8" s="33">
        <v>-1286088.80336</v>
      </c>
      <c r="I8" s="1" t="s">
        <v>47</v>
      </c>
      <c r="J8" s="1">
        <v>-593.57</v>
      </c>
      <c r="L8" s="1">
        <f>J8+J9</f>
        <v>-1286088.80336</v>
      </c>
      <c r="M8" s="1">
        <f>H8-L8</f>
        <v>0</v>
      </c>
    </row>
    <row r="9" s="1" customFormat="1" ht="26" customHeight="1" spans="2:10">
      <c r="B9" s="19"/>
      <c r="C9" s="20"/>
      <c r="D9" s="31" t="s">
        <v>13</v>
      </c>
      <c r="E9" s="14">
        <v>2606010923</v>
      </c>
      <c r="F9" s="32" t="s">
        <v>48</v>
      </c>
      <c r="G9" s="16" t="s">
        <v>19</v>
      </c>
      <c r="H9" s="33"/>
      <c r="I9" s="1" t="s">
        <v>47</v>
      </c>
      <c r="J9" s="1">
        <v>-1285495.23336</v>
      </c>
    </row>
    <row r="10" s="3" customFormat="1" ht="26" customHeight="1" spans="2:12">
      <c r="B10" s="12">
        <v>4</v>
      </c>
      <c r="C10" s="13" t="s">
        <v>21</v>
      </c>
      <c r="D10" s="31" t="s">
        <v>13</v>
      </c>
      <c r="E10" s="14">
        <v>2606011101</v>
      </c>
      <c r="F10" s="32" t="s">
        <v>49</v>
      </c>
      <c r="G10" s="16" t="s">
        <v>19</v>
      </c>
      <c r="H10" s="16">
        <v>-17766339.7212715</v>
      </c>
      <c r="I10" s="1" t="s">
        <v>23</v>
      </c>
      <c r="J10" s="3">
        <v>-17766339.7212715</v>
      </c>
      <c r="L10" s="3">
        <v>-17766339.7212715</v>
      </c>
    </row>
    <row r="11" s="1" customFormat="1" ht="26" customHeight="1" spans="2:12">
      <c r="B11" s="14">
        <v>5</v>
      </c>
      <c r="C11" s="31" t="s">
        <v>50</v>
      </c>
      <c r="D11" s="31" t="s">
        <v>13</v>
      </c>
      <c r="E11" s="14">
        <v>2606011201</v>
      </c>
      <c r="F11" s="32" t="s">
        <v>51</v>
      </c>
      <c r="G11" s="16" t="s">
        <v>15</v>
      </c>
      <c r="H11" s="17">
        <v>302585.340231081</v>
      </c>
      <c r="I11" s="1" t="s">
        <v>30</v>
      </c>
      <c r="J11" s="34">
        <v>302585.340231081</v>
      </c>
      <c r="L11" s="34">
        <v>302585.340231081</v>
      </c>
    </row>
    <row r="12" ht="21" customHeight="1" spans="8:10">
      <c r="H12" s="5">
        <f>SUM(H4:H11)</f>
        <v>7759231.54831957</v>
      </c>
      <c r="I12" s="5"/>
      <c r="J12" s="5">
        <f>SUM(J4:J11)</f>
        <v>7759231.54831958</v>
      </c>
    </row>
    <row r="14" spans="8:8">
      <c r="H14" s="5">
        <f>[2]核对!$E$21-H12</f>
        <v>1.11758708953857e-8</v>
      </c>
    </row>
  </sheetData>
  <mergeCells count="7">
    <mergeCell ref="B1:G1"/>
    <mergeCell ref="B4:B5"/>
    <mergeCell ref="B6:B7"/>
    <mergeCell ref="B8:B9"/>
    <mergeCell ref="C4:C5"/>
    <mergeCell ref="C6:C7"/>
    <mergeCell ref="C8:C9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33"/>
  <sheetViews>
    <sheetView zoomScale="60" zoomScaleNormal="60" workbookViewId="0">
      <selection activeCell="I3" sqref="I3"/>
    </sheetView>
  </sheetViews>
  <sheetFormatPr defaultColWidth="8.72727272727273" defaultRowHeight="21" customHeight="1"/>
  <cols>
    <col min="1" max="1" width="8.72727272727273" style="1"/>
    <col min="2" max="2" width="8.72727272727273" style="3"/>
    <col min="3" max="3" width="12.0727272727273" style="3" customWidth="1"/>
    <col min="4" max="4" width="22.0272727272727" style="3" customWidth="1"/>
    <col min="5" max="5" width="94.9363636363636" style="4" customWidth="1"/>
    <col min="6" max="6" width="27.4" style="5" customWidth="1"/>
    <col min="7" max="7" width="22.0272727272727" style="5" customWidth="1"/>
    <col min="8" max="8" width="21" style="1" customWidth="1"/>
    <col min="9" max="9" width="17.6363636363636" style="6" customWidth="1"/>
    <col min="10" max="10" width="8.72727272727273" style="1"/>
    <col min="11" max="11" width="18.3636363636364" style="1"/>
    <col min="12" max="16384" width="8.72727272727273" style="1"/>
  </cols>
  <sheetData>
    <row r="1" customHeight="1" spans="2:6">
      <c r="B1" s="7" t="s">
        <v>0</v>
      </c>
      <c r="C1" s="7"/>
      <c r="D1" s="7"/>
      <c r="E1" s="7"/>
      <c r="F1" s="8"/>
    </row>
    <row r="2" s="1" customFormat="1" customHeight="1" spans="2:9">
      <c r="B2" s="9" t="s">
        <v>52</v>
      </c>
      <c r="C2" s="3"/>
      <c r="D2" s="3"/>
      <c r="E2" s="4"/>
      <c r="F2" s="9"/>
      <c r="G2" s="5"/>
      <c r="I2" s="6"/>
    </row>
    <row r="3" s="2" customFormat="1" customHeight="1" spans="2:9">
      <c r="B3" s="10" t="s">
        <v>3</v>
      </c>
      <c r="C3" s="10" t="s">
        <v>4</v>
      </c>
      <c r="D3" s="10" t="s">
        <v>6</v>
      </c>
      <c r="E3" s="10" t="s">
        <v>7</v>
      </c>
      <c r="F3" s="11" t="s">
        <v>8</v>
      </c>
      <c r="G3" s="11" t="s">
        <v>9</v>
      </c>
      <c r="I3" s="28"/>
    </row>
    <row r="4" customHeight="1" spans="2:9">
      <c r="B4" s="12">
        <v>1</v>
      </c>
      <c r="C4" s="13" t="s">
        <v>53</v>
      </c>
      <c r="D4" s="14">
        <v>1252010501</v>
      </c>
      <c r="E4" s="15" t="s">
        <v>54</v>
      </c>
      <c r="F4" s="16" t="s">
        <v>15</v>
      </c>
      <c r="G4" s="17">
        <v>855784035.400515</v>
      </c>
      <c r="H4" s="18" t="s">
        <v>16</v>
      </c>
      <c r="I4" s="6">
        <v>863371602.268193</v>
      </c>
    </row>
    <row r="5" hidden="1" customHeight="1" spans="2:8">
      <c r="B5" s="19"/>
      <c r="C5" s="20"/>
      <c r="D5" s="14">
        <v>1252010502</v>
      </c>
      <c r="E5" s="21" t="s">
        <v>55</v>
      </c>
      <c r="F5" s="16" t="s">
        <v>15</v>
      </c>
      <c r="G5" s="17"/>
      <c r="H5" s="1" t="s">
        <v>16</v>
      </c>
    </row>
    <row r="6" customHeight="1" spans="2:7">
      <c r="B6" s="19"/>
      <c r="C6" s="20"/>
      <c r="D6" s="14">
        <v>1252010503</v>
      </c>
      <c r="E6" s="15" t="s">
        <v>56</v>
      </c>
      <c r="F6" s="16" t="s">
        <v>15</v>
      </c>
      <c r="G6" s="17">
        <v>3137516.59</v>
      </c>
    </row>
    <row r="7" hidden="1" customHeight="1" spans="2:7">
      <c r="B7" s="19"/>
      <c r="C7" s="20"/>
      <c r="D7" s="14">
        <v>1252010504</v>
      </c>
      <c r="E7" s="21" t="s">
        <v>57</v>
      </c>
      <c r="F7" s="16" t="s">
        <v>15</v>
      </c>
      <c r="G7" s="17"/>
    </row>
    <row r="8" hidden="1" customHeight="1" spans="2:7">
      <c r="B8" s="19"/>
      <c r="C8" s="20"/>
      <c r="D8" s="14">
        <v>1252010505</v>
      </c>
      <c r="E8" s="21" t="s">
        <v>58</v>
      </c>
      <c r="F8" s="16" t="s">
        <v>15</v>
      </c>
      <c r="G8" s="17"/>
    </row>
    <row r="9" customHeight="1" spans="2:7">
      <c r="B9" s="19"/>
      <c r="C9" s="20"/>
      <c r="D9" s="14">
        <v>1252010511</v>
      </c>
      <c r="E9" s="15" t="s">
        <v>59</v>
      </c>
      <c r="F9" s="16" t="s">
        <v>15</v>
      </c>
      <c r="G9" s="17">
        <v>2611383.107677</v>
      </c>
    </row>
    <row r="10" hidden="1" customHeight="1" spans="2:7">
      <c r="B10" s="19"/>
      <c r="C10" s="20"/>
      <c r="D10" s="14">
        <v>1252010512</v>
      </c>
      <c r="E10" s="21" t="s">
        <v>60</v>
      </c>
      <c r="F10" s="16" t="s">
        <v>15</v>
      </c>
      <c r="G10" s="17"/>
    </row>
    <row r="11" customHeight="1" spans="2:7">
      <c r="B11" s="19"/>
      <c r="C11" s="20"/>
      <c r="D11" s="14">
        <v>1252010513</v>
      </c>
      <c r="E11" s="15" t="s">
        <v>61</v>
      </c>
      <c r="F11" s="16" t="s">
        <v>15</v>
      </c>
      <c r="G11" s="17">
        <v>1838667.17</v>
      </c>
    </row>
    <row r="12" hidden="1" customHeight="1" spans="2:7">
      <c r="B12" s="19"/>
      <c r="C12" s="20"/>
      <c r="D12" s="14">
        <v>1252010514</v>
      </c>
      <c r="E12" s="21" t="s">
        <v>62</v>
      </c>
      <c r="F12" s="16" t="s">
        <v>15</v>
      </c>
      <c r="G12" s="17"/>
    </row>
    <row r="13" hidden="1" customHeight="1" spans="2:7">
      <c r="B13" s="22"/>
      <c r="C13" s="23"/>
      <c r="D13" s="14">
        <v>1252010515</v>
      </c>
      <c r="E13" s="21" t="s">
        <v>63</v>
      </c>
      <c r="F13" s="16" t="s">
        <v>15</v>
      </c>
      <c r="G13" s="17"/>
    </row>
    <row r="14" customHeight="1" spans="2:9">
      <c r="B14" s="12">
        <v>2</v>
      </c>
      <c r="C14" s="13" t="s">
        <v>64</v>
      </c>
      <c r="D14" s="14">
        <v>1252010521</v>
      </c>
      <c r="E14" s="15" t="s">
        <v>65</v>
      </c>
      <c r="F14" s="16" t="s">
        <v>19</v>
      </c>
      <c r="G14" s="17">
        <v>-264691677.151172</v>
      </c>
      <c r="H14" s="18" t="s">
        <v>43</v>
      </c>
      <c r="I14" s="6">
        <v>-267611232.080104</v>
      </c>
    </row>
    <row r="15" hidden="1" customHeight="1" spans="2:8">
      <c r="B15" s="19"/>
      <c r="C15" s="20"/>
      <c r="D15" s="14">
        <v>1252010522</v>
      </c>
      <c r="E15" s="21" t="s">
        <v>66</v>
      </c>
      <c r="F15" s="16" t="s">
        <v>19</v>
      </c>
      <c r="G15" s="17"/>
      <c r="H15" s="1" t="s">
        <v>43</v>
      </c>
    </row>
    <row r="16" customHeight="1" spans="2:7">
      <c r="B16" s="19"/>
      <c r="C16" s="20"/>
      <c r="D16" s="14">
        <v>1252010523</v>
      </c>
      <c r="E16" s="15" t="s">
        <v>67</v>
      </c>
      <c r="F16" s="16" t="s">
        <v>19</v>
      </c>
      <c r="G16" s="17">
        <v>-1093582.38</v>
      </c>
    </row>
    <row r="17" hidden="1" customHeight="1" spans="2:7">
      <c r="B17" s="19"/>
      <c r="C17" s="20"/>
      <c r="D17" s="14">
        <v>1252010524</v>
      </c>
      <c r="E17" s="21" t="s">
        <v>68</v>
      </c>
      <c r="F17" s="16" t="s">
        <v>19</v>
      </c>
      <c r="G17" s="17"/>
    </row>
    <row r="18" hidden="1" customHeight="1" spans="2:7">
      <c r="B18" s="19"/>
      <c r="C18" s="20"/>
      <c r="D18" s="14">
        <v>1252010525</v>
      </c>
      <c r="E18" s="21" t="s">
        <v>69</v>
      </c>
      <c r="F18" s="16" t="s">
        <v>19</v>
      </c>
      <c r="G18" s="17"/>
    </row>
    <row r="19" customHeight="1" spans="2:7">
      <c r="B19" s="19"/>
      <c r="C19" s="20"/>
      <c r="D19" s="14">
        <v>1252010531</v>
      </c>
      <c r="E19" s="15" t="s">
        <v>70</v>
      </c>
      <c r="F19" s="16" t="s">
        <v>19</v>
      </c>
      <c r="G19" s="17">
        <v>-822585.678932</v>
      </c>
    </row>
    <row r="20" hidden="1" customHeight="1" spans="2:7">
      <c r="B20" s="19"/>
      <c r="C20" s="20"/>
      <c r="D20" s="14">
        <v>1252010532</v>
      </c>
      <c r="E20" s="21" t="s">
        <v>71</v>
      </c>
      <c r="F20" s="16" t="s">
        <v>19</v>
      </c>
      <c r="G20" s="17"/>
    </row>
    <row r="21" customHeight="1" spans="2:7">
      <c r="B21" s="19"/>
      <c r="C21" s="20"/>
      <c r="D21" s="14">
        <v>1252010533</v>
      </c>
      <c r="E21" s="15" t="s">
        <v>72</v>
      </c>
      <c r="F21" s="16" t="s">
        <v>19</v>
      </c>
      <c r="G21" s="17">
        <v>-1003386.87</v>
      </c>
    </row>
    <row r="22" hidden="1" customHeight="1" spans="2:7">
      <c r="B22" s="19"/>
      <c r="C22" s="20"/>
      <c r="D22" s="14">
        <v>1252010534</v>
      </c>
      <c r="E22" s="21" t="s">
        <v>73</v>
      </c>
      <c r="F22" s="16" t="s">
        <v>19</v>
      </c>
      <c r="G22" s="17"/>
    </row>
    <row r="23" hidden="1" customHeight="1" spans="2:7">
      <c r="B23" s="19"/>
      <c r="C23" s="20"/>
      <c r="D23" s="14">
        <v>1252010535</v>
      </c>
      <c r="E23" s="21" t="s">
        <v>74</v>
      </c>
      <c r="F23" s="16" t="s">
        <v>19</v>
      </c>
      <c r="G23" s="17"/>
    </row>
    <row r="24" customHeight="1" spans="2:9">
      <c r="B24" s="12">
        <v>3</v>
      </c>
      <c r="C24" s="13" t="s">
        <v>75</v>
      </c>
      <c r="D24" s="24">
        <v>1252010301</v>
      </c>
      <c r="E24" s="15" t="s">
        <v>76</v>
      </c>
      <c r="F24" s="16" t="s">
        <v>19</v>
      </c>
      <c r="G24" s="17">
        <v>-283110490.223765</v>
      </c>
      <c r="H24" s="1" t="s">
        <v>77</v>
      </c>
      <c r="I24" s="6">
        <v>-285074483.277986</v>
      </c>
    </row>
    <row r="25" customHeight="1" spans="2:7">
      <c r="B25" s="19"/>
      <c r="C25" s="20"/>
      <c r="D25" s="24">
        <v>1252010302</v>
      </c>
      <c r="E25" s="15" t="s">
        <v>78</v>
      </c>
      <c r="F25" s="16" t="s">
        <v>19</v>
      </c>
      <c r="G25" s="17">
        <v>-1963993.05422132</v>
      </c>
    </row>
    <row r="26" customHeight="1" spans="2:9">
      <c r="B26" s="12">
        <v>4</v>
      </c>
      <c r="C26" s="12" t="s">
        <v>79</v>
      </c>
      <c r="D26" s="24">
        <v>1252010401</v>
      </c>
      <c r="E26" s="15" t="s">
        <v>80</v>
      </c>
      <c r="F26" s="16" t="s">
        <v>15</v>
      </c>
      <c r="G26" s="17">
        <v>3762.4081520832</v>
      </c>
      <c r="H26" s="1" t="s">
        <v>81</v>
      </c>
      <c r="I26" s="6">
        <v>3762.4081520832</v>
      </c>
    </row>
    <row r="27" customHeight="1" spans="2:7">
      <c r="B27" s="22"/>
      <c r="C27" s="22"/>
      <c r="D27" s="24">
        <v>1252010402</v>
      </c>
      <c r="E27" s="21" t="s">
        <v>82</v>
      </c>
      <c r="F27" s="16" t="s">
        <v>15</v>
      </c>
      <c r="G27" s="17">
        <v>0</v>
      </c>
    </row>
    <row r="28" customHeight="1" spans="2:9">
      <c r="B28" s="14">
        <v>5</v>
      </c>
      <c r="C28" s="14" t="s">
        <v>83</v>
      </c>
      <c r="D28" s="24">
        <v>1252010201</v>
      </c>
      <c r="E28" s="25" t="s">
        <v>84</v>
      </c>
      <c r="F28" s="16" t="s">
        <v>85</v>
      </c>
      <c r="G28" s="17">
        <v>-272312430.795124</v>
      </c>
      <c r="H28" s="1" t="s">
        <v>86</v>
      </c>
      <c r="I28" s="6">
        <v>-272312430.795124</v>
      </c>
    </row>
    <row r="29" hidden="1" customHeight="1" spans="2:7">
      <c r="B29" s="14"/>
      <c r="C29" s="14"/>
      <c r="D29" s="24">
        <v>1252010202</v>
      </c>
      <c r="E29" s="26" t="s">
        <v>87</v>
      </c>
      <c r="F29" s="16" t="s">
        <v>85</v>
      </c>
      <c r="G29" s="17"/>
    </row>
    <row r="30" customHeight="1" spans="2:9">
      <c r="B30" s="14"/>
      <c r="C30" s="14"/>
      <c r="D30" s="24" t="s">
        <v>88</v>
      </c>
      <c r="E30" s="27" t="s">
        <v>89</v>
      </c>
      <c r="F30" s="16" t="s">
        <v>90</v>
      </c>
      <c r="G30" s="17">
        <v>272312430.795124</v>
      </c>
      <c r="H30" s="1" t="s">
        <v>86</v>
      </c>
      <c r="I30" s="6">
        <v>272312430.795124</v>
      </c>
    </row>
    <row r="31" hidden="1" customHeight="1" spans="2:7">
      <c r="B31" s="14"/>
      <c r="C31" s="14"/>
      <c r="D31" s="24" t="s">
        <v>91</v>
      </c>
      <c r="E31" s="27" t="s">
        <v>92</v>
      </c>
      <c r="F31" s="16" t="s">
        <v>90</v>
      </c>
      <c r="G31" s="17"/>
    </row>
    <row r="32" customHeight="1" spans="7:11">
      <c r="G32" s="5">
        <f>SUM(G4:G31)</f>
        <v>310689649.318254</v>
      </c>
      <c r="I32" s="6">
        <f>SUM(I4:I30)</f>
        <v>310689649.318255</v>
      </c>
      <c r="K32" s="5"/>
    </row>
    <row r="33" customHeight="1" spans="9:11">
      <c r="I33" s="29">
        <f>I32-[2]核对!$E$22</f>
        <v>3762.40815067291</v>
      </c>
      <c r="K33" s="5"/>
    </row>
  </sheetData>
  <mergeCells count="11">
    <mergeCell ref="B1:F1"/>
    <mergeCell ref="B4:B13"/>
    <mergeCell ref="B14:B23"/>
    <mergeCell ref="B24:B25"/>
    <mergeCell ref="B26:B27"/>
    <mergeCell ref="B28:B31"/>
    <mergeCell ref="C4:C13"/>
    <mergeCell ref="C14:C23"/>
    <mergeCell ref="C24:C25"/>
    <mergeCell ref="C26:C27"/>
    <mergeCell ref="C28:C3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直保PAA</vt:lpstr>
      <vt:lpstr>再保分入</vt:lpstr>
      <vt:lpstr>再保分出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kchqa</dc:creator>
  <cp:lastModifiedBy>小樱</cp:lastModifiedBy>
  <dcterms:created xsi:type="dcterms:W3CDTF">2025-09-23T07:47:00Z</dcterms:created>
  <dcterms:modified xsi:type="dcterms:W3CDTF">2025-10-14T07:50:31Z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DFE578F60D6E40E9BEC6CAB9AC903755_13</vt:lpwstr>
  </property>
  <property fmtid="{D5CDD505-2E9C-101B-9397-08002B2CF9AE}" pid="3" name="KSOProductBuildVer">
    <vt:lpwstr>2052-12.1.0.23125</vt:lpwstr>
  </property>
</Properties>
</file>